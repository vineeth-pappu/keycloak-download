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PR-2021" sheetId="1" r:id="rId5"/>
  </sheets>
  <externalReferences>
    <externalReference r:id="rId6"/>
    <externalReference r:id="rId7"/>
  </externalReferences>
  <definedNames/>
  <calcPr/>
  <extLst>
    <ext uri="GoogleSheetsCustomDataVersion1">
      <go:sheetsCustomData xmlns:go="http://customooxmlschemas.google.com/" r:id="rId8" roundtripDataSignature="AMtx7mjF0yIlxAXqRQfiPdK5LZ7fDpV9vQ=="/>
    </ext>
  </extLst>
</workbook>
</file>

<file path=xl/sharedStrings.xml><?xml version="1.0" encoding="utf-8"?>
<sst xmlns="http://schemas.openxmlformats.org/spreadsheetml/2006/main" count="28" uniqueCount="21">
  <si>
    <t xml:space="preserve">Timesheet Report </t>
  </si>
  <si>
    <t>Resource name:</t>
  </si>
  <si>
    <t>Vineeth Viswanathan</t>
  </si>
  <si>
    <t>Resource Position</t>
  </si>
  <si>
    <t>Senior Information Specialist</t>
  </si>
  <si>
    <t>Organisation:</t>
  </si>
  <si>
    <t>Injazat Data Systems</t>
  </si>
  <si>
    <t>Start date:</t>
  </si>
  <si>
    <t>Timesheet end date:</t>
  </si>
  <si>
    <t>(max one month per timesheet)</t>
  </si>
  <si>
    <t>Subtotal</t>
  </si>
  <si>
    <t>Project / Cost Centre Name</t>
  </si>
  <si>
    <t>Hours</t>
  </si>
  <si>
    <t>Air Force Air Defence(AFAD) Base-Project</t>
  </si>
  <si>
    <t>Holiday</t>
  </si>
  <si>
    <t>Vacation</t>
  </si>
  <si>
    <t>Other (Ramadan)</t>
  </si>
  <si>
    <t>Total</t>
  </si>
  <si>
    <t>Resource Signature</t>
  </si>
  <si>
    <t>Approver Name &amp; Signature</t>
  </si>
  <si>
    <t>Timesheet to be submitted to Injazat Finance Department once completed. Timesheets submitted without Approver's signature or with incomplete details will be rejected.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</si>
</sst>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[$-409]d\-mmm\-yyyy"/>
    <numFmt numFmtId="165" formatCode="d/m/yy"/>
    <numFmt numFmtId="166" formatCode="#,##0.0;\(#,##0.0\);&quot;-&quot;"/>
    <numFmt numFmtId="167" formatCode="#,##0;\(#,##0\);&quot;-&quot;"/>
  </numFmts>
  <fonts count="10">
    <font>
      <sz val="10.0"/>
      <color rgb="FF000000"/>
      <name val="Arial"/>
    </font>
    <font>
      <sz val="14.0"/>
      <color theme="1"/>
      <name val="Arial"/>
    </font>
    <font>
      <b/>
      <sz val="18.0"/>
      <color rgb="FF0000FF"/>
      <name val="Arial"/>
    </font>
    <font/>
    <font>
      <sz val="9.0"/>
      <color theme="1"/>
      <name val="Arial"/>
    </font>
    <font>
      <sz val="14.0"/>
      <name val="Arial"/>
    </font>
    <font>
      <sz val="10.0"/>
      <color theme="1"/>
      <name val="Arial"/>
    </font>
    <font>
      <sz val="14.0"/>
      <color rgb="FF003300"/>
      <name val="Arial"/>
    </font>
    <font>
      <b/>
      <sz val="14.0"/>
      <color theme="1"/>
      <name val="Arial"/>
    </font>
    <font>
      <sz val="8.0"/>
      <color theme="1"/>
      <name val="Arial"/>
    </font>
  </fonts>
  <fills count="4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rgb="FFCCFFFF"/>
        <bgColor rgb="FFCCFFFF"/>
      </patternFill>
    </fill>
  </fills>
  <borders count="51">
    <border/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medium">
        <color rgb="FF000000"/>
      </right>
      <top/>
      <bottom/>
    </border>
    <border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/>
      <top/>
      <bottom/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/>
    </border>
    <border>
      <left style="hair">
        <color rgb="FF000000"/>
      </left>
      <right style="hair">
        <color rgb="FF000000"/>
      </right>
      <top style="hair">
        <color rgb="FF000000"/>
      </top>
      <bottom/>
    </border>
    <border>
      <left style="hair">
        <color rgb="FF000000"/>
      </left>
      <right style="thin">
        <color rgb="FF000000"/>
      </right>
      <top style="hair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/>
    </border>
    <border>
      <top style="thin">
        <color rgb="FF000000"/>
      </top>
      <bottom style="thin">
        <color rgb="FF000000"/>
      </bottom>
    </border>
    <border>
      <left/>
      <top/>
      <bottom/>
    </border>
    <border>
      <top/>
      <bottom/>
    </border>
    <border>
      <right/>
      <top/>
      <bottom/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</borders>
  <cellStyleXfs count="1">
    <xf borderId="0" fillId="0" fontId="0" numFmtId="0" applyAlignment="1" applyFont="1"/>
  </cellStyleXfs>
  <cellXfs count="101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2" fillId="2" fontId="1" numFmtId="0" xfId="0" applyBorder="1" applyFont="1"/>
    <xf borderId="2" fillId="2" fontId="2" numFmtId="0" xfId="0" applyBorder="1" applyFont="1"/>
    <xf borderId="3" fillId="2" fontId="1" numFmtId="0" xfId="0" applyBorder="1" applyFont="1"/>
    <xf borderId="4" fillId="2" fontId="1" numFmtId="0" xfId="0" applyBorder="1" applyFont="1"/>
    <xf borderId="5" fillId="2" fontId="1" numFmtId="0" xfId="0" applyBorder="1" applyFont="1"/>
    <xf borderId="6" fillId="2" fontId="1" numFmtId="0" xfId="0" applyBorder="1" applyFont="1"/>
    <xf borderId="7" fillId="0" fontId="1" numFmtId="0" xfId="0" applyAlignment="1" applyBorder="1" applyFont="1">
      <alignment horizontal="left" readingOrder="0"/>
    </xf>
    <xf borderId="7" fillId="0" fontId="3" numFmtId="0" xfId="0" applyBorder="1" applyFont="1"/>
    <xf borderId="7" fillId="0" fontId="1" numFmtId="0" xfId="0" applyAlignment="1" applyBorder="1" applyFont="1">
      <alignment horizontal="left"/>
    </xf>
    <xf borderId="7" fillId="0" fontId="1" numFmtId="164" xfId="0" applyAlignment="1" applyBorder="1" applyFont="1" applyNumberFormat="1">
      <alignment horizontal="center" readingOrder="0"/>
    </xf>
    <xf borderId="0" fillId="0" fontId="4" numFmtId="0" xfId="0" applyFont="1"/>
    <xf borderId="8" fillId="2" fontId="1" numFmtId="0" xfId="0" applyBorder="1" applyFont="1"/>
    <xf borderId="9" fillId="2" fontId="1" numFmtId="0" xfId="0" applyAlignment="1" applyBorder="1" applyFont="1">
      <alignment horizontal="center"/>
    </xf>
    <xf borderId="10" fillId="2" fontId="1" numFmtId="0" xfId="0" applyAlignment="1" applyBorder="1" applyFont="1">
      <alignment horizontal="center"/>
    </xf>
    <xf borderId="11" fillId="2" fontId="1" numFmtId="0" xfId="0" applyBorder="1" applyFont="1"/>
    <xf borderId="12" fillId="2" fontId="1" numFmtId="0" xfId="0" applyAlignment="1" applyBorder="1" applyFont="1">
      <alignment horizontal="center"/>
    </xf>
    <xf borderId="5" fillId="2" fontId="1" numFmtId="0" xfId="0" applyAlignment="1" applyBorder="1" applyFont="1">
      <alignment horizontal="center"/>
    </xf>
    <xf borderId="13" fillId="2" fontId="1" numFmtId="0" xfId="0" applyBorder="1" applyFont="1"/>
    <xf borderId="14" fillId="2" fontId="1" numFmtId="165" xfId="0" applyAlignment="1" applyBorder="1" applyFont="1" applyNumberFormat="1">
      <alignment horizontal="center"/>
    </xf>
    <xf borderId="15" fillId="2" fontId="1" numFmtId="165" xfId="0" applyAlignment="1" applyBorder="1" applyFont="1" applyNumberFormat="1">
      <alignment horizontal="center"/>
    </xf>
    <xf borderId="13" fillId="2" fontId="1" numFmtId="0" xfId="0" applyAlignment="1" applyBorder="1" applyFont="1">
      <alignment horizontal="center"/>
    </xf>
    <xf borderId="12" fillId="2" fontId="1" numFmtId="0" xfId="0" applyBorder="1" applyFont="1"/>
    <xf borderId="16" fillId="0" fontId="5" numFmtId="0" xfId="0" applyAlignment="1" applyBorder="1" applyFont="1">
      <alignment readingOrder="0"/>
    </xf>
    <xf borderId="17" fillId="0" fontId="1" numFmtId="166" xfId="0" applyAlignment="1" applyBorder="1" applyFont="1" applyNumberFormat="1">
      <alignment horizontal="center"/>
    </xf>
    <xf borderId="17" fillId="0" fontId="5" numFmtId="166" xfId="0" applyAlignment="1" applyBorder="1" applyFont="1" applyNumberFormat="1">
      <alignment horizontal="center" readingOrder="0"/>
    </xf>
    <xf borderId="18" fillId="0" fontId="1" numFmtId="166" xfId="0" applyAlignment="1" applyBorder="1" applyFont="1" applyNumberFormat="1">
      <alignment horizontal="center"/>
    </xf>
    <xf borderId="6" fillId="2" fontId="1" numFmtId="0" xfId="0" applyAlignment="1" applyBorder="1" applyFont="1">
      <alignment horizontal="center"/>
    </xf>
    <xf borderId="0" fillId="0" fontId="6" numFmtId="0" xfId="0" applyAlignment="1" applyFont="1">
      <alignment horizontal="center"/>
    </xf>
    <xf borderId="0" fillId="0" fontId="4" numFmtId="0" xfId="0" applyAlignment="1" applyFont="1">
      <alignment horizontal="center"/>
    </xf>
    <xf borderId="19" fillId="3" fontId="1" numFmtId="0" xfId="0" applyBorder="1" applyFill="1" applyFont="1"/>
    <xf borderId="20" fillId="3" fontId="1" numFmtId="166" xfId="0" applyAlignment="1" applyBorder="1" applyFont="1" applyNumberFormat="1">
      <alignment horizontal="center"/>
    </xf>
    <xf borderId="21" fillId="3" fontId="1" numFmtId="166" xfId="0" applyAlignment="1" applyBorder="1" applyFont="1" applyNumberFormat="1">
      <alignment horizontal="center"/>
    </xf>
    <xf borderId="21" fillId="3" fontId="5" numFmtId="166" xfId="0" applyAlignment="1" applyBorder="1" applyFont="1" applyNumberFormat="1">
      <alignment horizontal="center" readingOrder="0"/>
    </xf>
    <xf borderId="22" fillId="3" fontId="1" numFmtId="166" xfId="0" applyAlignment="1" applyBorder="1" applyFont="1" applyNumberFormat="1">
      <alignment horizontal="center"/>
    </xf>
    <xf borderId="18" fillId="3" fontId="1" numFmtId="166" xfId="0" applyAlignment="1" applyBorder="1" applyFont="1" applyNumberFormat="1">
      <alignment horizontal="center"/>
    </xf>
    <xf borderId="19" fillId="0" fontId="1" numFmtId="0" xfId="0" applyBorder="1" applyFont="1"/>
    <xf borderId="20" fillId="0" fontId="5" numFmtId="166" xfId="0" applyAlignment="1" applyBorder="1" applyFont="1" applyNumberFormat="1">
      <alignment horizontal="center" readingOrder="0"/>
    </xf>
    <xf borderId="21" fillId="0" fontId="1" numFmtId="166" xfId="0" applyAlignment="1" applyBorder="1" applyFont="1" applyNumberFormat="1">
      <alignment horizontal="center"/>
    </xf>
    <xf borderId="21" fillId="0" fontId="5" numFmtId="166" xfId="0" applyAlignment="1" applyBorder="1" applyFont="1" applyNumberFormat="1">
      <alignment horizontal="center" readingOrder="0"/>
    </xf>
    <xf borderId="22" fillId="0" fontId="1" numFmtId="166" xfId="0" applyAlignment="1" applyBorder="1" applyFont="1" applyNumberFormat="1">
      <alignment horizontal="center"/>
    </xf>
    <xf borderId="19" fillId="3" fontId="5" numFmtId="0" xfId="0" applyAlignment="1" applyBorder="1" applyFont="1">
      <alignment readingOrder="0"/>
    </xf>
    <xf borderId="20" fillId="0" fontId="1" numFmtId="166" xfId="0" applyAlignment="1" applyBorder="1" applyFont="1" applyNumberFormat="1">
      <alignment horizontal="center"/>
    </xf>
    <xf borderId="23" fillId="3" fontId="1" numFmtId="0" xfId="0" applyBorder="1" applyFont="1"/>
    <xf borderId="24" fillId="3" fontId="1" numFmtId="166" xfId="0" applyAlignment="1" applyBorder="1" applyFont="1" applyNumberFormat="1">
      <alignment horizontal="center"/>
    </xf>
    <xf borderId="25" fillId="3" fontId="1" numFmtId="166" xfId="0" applyAlignment="1" applyBorder="1" applyFont="1" applyNumberFormat="1">
      <alignment horizontal="center"/>
    </xf>
    <xf borderId="26" fillId="3" fontId="1" numFmtId="166" xfId="0" applyAlignment="1" applyBorder="1" applyFont="1" applyNumberFormat="1">
      <alignment horizontal="center"/>
    </xf>
    <xf borderId="27" fillId="3" fontId="1" numFmtId="166" xfId="0" applyAlignment="1" applyBorder="1" applyFont="1" applyNumberFormat="1">
      <alignment horizontal="center"/>
    </xf>
    <xf borderId="28" fillId="0" fontId="1" numFmtId="0" xfId="0" applyBorder="1" applyFont="1"/>
    <xf borderId="29" fillId="0" fontId="1" numFmtId="166" xfId="0" applyAlignment="1" applyBorder="1" applyFont="1" applyNumberFormat="1">
      <alignment horizontal="center"/>
    </xf>
    <xf borderId="30" fillId="0" fontId="1" numFmtId="166" xfId="0" applyAlignment="1" applyBorder="1" applyFont="1" applyNumberFormat="1">
      <alignment horizontal="center"/>
    </xf>
    <xf borderId="31" fillId="0" fontId="1" numFmtId="166" xfId="0" applyAlignment="1" applyBorder="1" applyFont="1" applyNumberFormat="1">
      <alignment horizontal="center"/>
    </xf>
    <xf borderId="32" fillId="0" fontId="1" numFmtId="166" xfId="0" applyAlignment="1" applyBorder="1" applyFont="1" applyNumberFormat="1">
      <alignment horizontal="center"/>
    </xf>
    <xf borderId="33" fillId="3" fontId="1" numFmtId="0" xfId="0" applyBorder="1" applyFont="1"/>
    <xf borderId="34" fillId="3" fontId="1" numFmtId="166" xfId="0" applyAlignment="1" applyBorder="1" applyFont="1" applyNumberFormat="1">
      <alignment horizontal="center"/>
    </xf>
    <xf borderId="35" fillId="3" fontId="1" numFmtId="166" xfId="0" applyAlignment="1" applyBorder="1" applyFont="1" applyNumberFormat="1">
      <alignment horizontal="center"/>
    </xf>
    <xf borderId="36" fillId="3" fontId="1" numFmtId="166" xfId="0" applyAlignment="1" applyBorder="1" applyFont="1" applyNumberFormat="1">
      <alignment horizontal="center"/>
    </xf>
    <xf borderId="28" fillId="0" fontId="7" numFmtId="0" xfId="0" applyBorder="1" applyFont="1"/>
    <xf borderId="19" fillId="3" fontId="7" numFmtId="0" xfId="0" applyBorder="1" applyFont="1"/>
    <xf borderId="37" fillId="3" fontId="1" numFmtId="166" xfId="0" applyAlignment="1" applyBorder="1" applyFont="1" applyNumberFormat="1">
      <alignment horizontal="center"/>
    </xf>
    <xf borderId="38" fillId="3" fontId="1" numFmtId="166" xfId="0" applyAlignment="1" applyBorder="1" applyFont="1" applyNumberFormat="1">
      <alignment horizontal="center"/>
    </xf>
    <xf borderId="39" fillId="3" fontId="1" numFmtId="166" xfId="0" applyAlignment="1" applyBorder="1" applyFont="1" applyNumberFormat="1">
      <alignment horizontal="center"/>
    </xf>
    <xf borderId="33" fillId="0" fontId="7" numFmtId="0" xfId="0" applyBorder="1" applyFont="1"/>
    <xf borderId="34" fillId="0" fontId="1" numFmtId="166" xfId="0" applyAlignment="1" applyBorder="1" applyFont="1" applyNumberFormat="1">
      <alignment horizontal="center"/>
    </xf>
    <xf borderId="35" fillId="0" fontId="1" numFmtId="166" xfId="0" applyAlignment="1" applyBorder="1" applyFont="1" applyNumberFormat="1">
      <alignment horizontal="center"/>
    </xf>
    <xf borderId="36" fillId="0" fontId="1" numFmtId="166" xfId="0" applyAlignment="1" applyBorder="1" applyFont="1" applyNumberFormat="1">
      <alignment horizontal="center"/>
    </xf>
    <xf borderId="40" fillId="2" fontId="1" numFmtId="0" xfId="0" applyBorder="1" applyFont="1"/>
    <xf borderId="18" fillId="0" fontId="8" numFmtId="0" xfId="0" applyAlignment="1" applyBorder="1" applyFont="1">
      <alignment horizontal="center"/>
    </xf>
    <xf borderId="41" fillId="0" fontId="1" numFmtId="166" xfId="0" applyAlignment="1" applyBorder="1" applyFont="1" applyNumberFormat="1">
      <alignment horizontal="center"/>
    </xf>
    <xf borderId="8" fillId="2" fontId="1" numFmtId="0" xfId="0" applyAlignment="1" applyBorder="1" applyFont="1">
      <alignment horizontal="center"/>
    </xf>
    <xf borderId="8" fillId="2" fontId="8" numFmtId="0" xfId="0" applyAlignment="1" applyBorder="1" applyFont="1">
      <alignment horizontal="center"/>
    </xf>
    <xf borderId="11" fillId="2" fontId="8" numFmtId="0" xfId="0" applyBorder="1" applyFont="1"/>
    <xf borderId="13" fillId="2" fontId="1" numFmtId="165" xfId="0" applyAlignment="1" applyBorder="1" applyFont="1" applyNumberFormat="1">
      <alignment horizontal="center"/>
    </xf>
    <xf borderId="13" fillId="2" fontId="8" numFmtId="0" xfId="0" applyAlignment="1" applyBorder="1" applyFont="1">
      <alignment horizontal="center"/>
    </xf>
    <xf borderId="42" fillId="0" fontId="5" numFmtId="166" xfId="0" applyAlignment="1" applyBorder="1" applyFont="1" applyNumberFormat="1">
      <alignment horizontal="center" readingOrder="0"/>
    </xf>
    <xf borderId="18" fillId="0" fontId="8" numFmtId="166" xfId="0" applyAlignment="1" applyBorder="1" applyFont="1" applyNumberFormat="1">
      <alignment horizontal="center"/>
    </xf>
    <xf borderId="18" fillId="3" fontId="8" numFmtId="166" xfId="0" applyAlignment="1" applyBorder="1" applyFont="1" applyNumberFormat="1">
      <alignment horizontal="center"/>
    </xf>
    <xf borderId="20" fillId="3" fontId="5" numFmtId="166" xfId="0" applyAlignment="1" applyBorder="1" applyFont="1" applyNumberFormat="1">
      <alignment horizontal="center" readingOrder="0"/>
    </xf>
    <xf borderId="27" fillId="3" fontId="8" numFmtId="166" xfId="0" applyAlignment="1" applyBorder="1" applyFont="1" applyNumberFormat="1">
      <alignment horizontal="center"/>
    </xf>
    <xf borderId="32" fillId="0" fontId="8" numFmtId="166" xfId="0" applyAlignment="1" applyBorder="1" applyFont="1" applyNumberFormat="1">
      <alignment horizontal="center"/>
    </xf>
    <xf borderId="43" fillId="3" fontId="1" numFmtId="0" xfId="0" applyBorder="1" applyFont="1"/>
    <xf borderId="14" fillId="2" fontId="1" numFmtId="0" xfId="0" applyBorder="1" applyFont="1"/>
    <xf borderId="33" fillId="0" fontId="1" numFmtId="0" xfId="0" applyBorder="1" applyFont="1"/>
    <xf borderId="44" fillId="0" fontId="1" numFmtId="166" xfId="0" applyAlignment="1" applyBorder="1" applyFont="1" applyNumberFormat="1">
      <alignment horizontal="center"/>
    </xf>
    <xf borderId="5" fillId="2" fontId="1" numFmtId="166" xfId="0" applyAlignment="1" applyBorder="1" applyFont="1" applyNumberFormat="1">
      <alignment horizontal="center"/>
    </xf>
    <xf borderId="5" fillId="2" fontId="8" numFmtId="166" xfId="0" applyAlignment="1" applyBorder="1" applyFont="1" applyNumberFormat="1">
      <alignment horizontal="center"/>
    </xf>
    <xf borderId="0" fillId="0" fontId="1" numFmtId="167" xfId="0" applyAlignment="1" applyFont="1" applyNumberFormat="1">
      <alignment horizontal="center"/>
    </xf>
    <xf borderId="5" fillId="2" fontId="1" numFmtId="167" xfId="0" applyAlignment="1" applyBorder="1" applyFont="1" applyNumberFormat="1">
      <alignment horizontal="center"/>
    </xf>
    <xf borderId="0" fillId="0" fontId="1" numFmtId="167" xfId="0" applyAlignment="1" applyFont="1" applyNumberFormat="1">
      <alignment horizontal="left"/>
    </xf>
    <xf borderId="5" fillId="2" fontId="8" numFmtId="167" xfId="0" applyAlignment="1" applyBorder="1" applyFont="1" applyNumberFormat="1">
      <alignment horizontal="center"/>
    </xf>
    <xf borderId="7" fillId="0" fontId="1" numFmtId="167" xfId="0" applyAlignment="1" applyBorder="1" applyFont="1" applyNumberFormat="1">
      <alignment horizontal="center"/>
    </xf>
    <xf borderId="5" fillId="2" fontId="1" numFmtId="167" xfId="0" applyAlignment="1" applyBorder="1" applyFont="1" applyNumberFormat="1">
      <alignment horizontal="left"/>
    </xf>
    <xf borderId="45" fillId="2" fontId="1" numFmtId="166" xfId="0" applyAlignment="1" applyBorder="1" applyFont="1" applyNumberFormat="1">
      <alignment horizontal="left"/>
    </xf>
    <xf borderId="46" fillId="0" fontId="3" numFmtId="0" xfId="0" applyBorder="1" applyFont="1"/>
    <xf borderId="47" fillId="0" fontId="3" numFmtId="0" xfId="0" applyBorder="1" applyFont="1"/>
    <xf borderId="48" fillId="2" fontId="1" numFmtId="0" xfId="0" applyBorder="1" applyFont="1"/>
    <xf borderId="49" fillId="2" fontId="1" numFmtId="0" xfId="0" applyBorder="1" applyFont="1"/>
    <xf borderId="49" fillId="2" fontId="1" numFmtId="0" xfId="0" applyAlignment="1" applyBorder="1" applyFont="1">
      <alignment horizontal="center"/>
    </xf>
    <xf borderId="50" fillId="2" fontId="1" numFmtId="0" xfId="0" applyBorder="1" applyFont="1"/>
    <xf borderId="0" fillId="0" fontId="9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7" Type="http://schemas.openxmlformats.org/officeDocument/2006/relationships/externalLink" Target="externalLinks/externalLink2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C:/DOCUME~1/AIMAN~1.ABU/LOCALS~1/Temp/Temporary%20Directory%201%20for%20E-Services_TimeSheet_March%20(2).zip/March/Abdulla_March_Time_sheet.xls" TargetMode="External"/></Relationships>
</file>

<file path=xl/externalLinks/_rels/externalLink2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C:/Documents%20and%20Settings/jalal.abuzuhri/Local%20Settings/Temporary%20Internet%20Files/OLK6D/0180_ADWEA_Servers_Consolidation_Billing%20Tracking%20Sheet_20081015.xls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Input sheet"/>
      <sheetName val="Project List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Project Info."/>
      <sheetName val="Suppliers"/>
      <sheetName val="Resources - Injazat"/>
      <sheetName val="Resources - Contractors"/>
      <sheetName val="Planned Values"/>
      <sheetName val="Actual Values"/>
      <sheetName val="Legal Statement"/>
      <sheetName val="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.43"/>
    <col customWidth="1" min="2" max="2" width="3.71"/>
    <col customWidth="1" min="3" max="3" width="55.0"/>
    <col customWidth="1" min="4" max="4" width="11.14"/>
    <col customWidth="1" min="5" max="5" width="13.14"/>
    <col customWidth="1" min="6" max="7" width="11.14"/>
    <col customWidth="1" min="8" max="8" width="12.29"/>
    <col customWidth="1" min="9" max="9" width="11.43"/>
    <col customWidth="1" min="10" max="10" width="12.43"/>
    <col customWidth="1" min="11" max="11" width="12.0"/>
    <col customWidth="1" min="12" max="12" width="11.86"/>
    <col customWidth="1" min="13" max="14" width="11.29"/>
    <col customWidth="1" min="15" max="15" width="14.86"/>
    <col customWidth="1" min="16" max="16" width="11.71"/>
    <col customWidth="1" min="17" max="17" width="13.86"/>
    <col customWidth="1" min="18" max="18" width="13.57"/>
    <col customWidth="1" min="19" max="19" width="12.43"/>
    <col customWidth="1" min="20" max="20" width="10.71"/>
    <col customWidth="1" min="21" max="21" width="6.57"/>
    <col customWidth="1" min="22" max="27" width="7.14"/>
    <col customWidth="1" min="28" max="28" width="12.14"/>
    <col customWidth="1" min="29" max="34" width="7.14"/>
  </cols>
  <sheetData>
    <row r="1" ht="12.75" customHeight="1">
      <c r="A1" s="1"/>
      <c r="B1" s="2"/>
      <c r="C1" s="2"/>
      <c r="D1" s="2"/>
      <c r="E1" s="2"/>
      <c r="F1" s="2"/>
      <c r="G1" s="2"/>
      <c r="H1" s="3" t="s">
        <v>0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2.7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2.75" customHeight="1">
      <c r="A3" s="5"/>
      <c r="B3" s="6"/>
      <c r="C3" s="6" t="s">
        <v>1</v>
      </c>
      <c r="D3" s="8" t="s">
        <v>2</v>
      </c>
      <c r="E3" s="9"/>
      <c r="F3" s="9"/>
      <c r="G3" s="6"/>
      <c r="H3" s="6" t="s">
        <v>3</v>
      </c>
      <c r="I3" s="6"/>
      <c r="J3" s="6"/>
      <c r="K3" s="8" t="s">
        <v>4</v>
      </c>
      <c r="L3" s="9"/>
      <c r="M3" s="9"/>
      <c r="N3" s="6"/>
      <c r="O3" s="6" t="s">
        <v>5</v>
      </c>
      <c r="P3" s="6"/>
      <c r="Q3" s="10" t="s">
        <v>6</v>
      </c>
      <c r="R3" s="10"/>
      <c r="S3" s="10"/>
      <c r="T3" s="6"/>
      <c r="U3" s="7"/>
    </row>
    <row r="4" ht="12.75" customHeight="1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</row>
    <row r="5" ht="12.75" customHeight="1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7"/>
    </row>
    <row r="6" ht="12.75" customHeight="1">
      <c r="A6" s="5"/>
      <c r="B6" s="6"/>
      <c r="C6" s="6" t="s">
        <v>7</v>
      </c>
      <c r="D6" s="11">
        <v>44287.0</v>
      </c>
      <c r="E6" s="9"/>
      <c r="F6" s="9"/>
      <c r="G6" s="6"/>
      <c r="H6" s="6" t="s">
        <v>8</v>
      </c>
      <c r="I6" s="6"/>
      <c r="J6" s="6"/>
      <c r="K6" s="11">
        <v>44316.0</v>
      </c>
      <c r="L6" s="9"/>
      <c r="M6" s="9"/>
      <c r="N6" s="6"/>
      <c r="O6" s="6"/>
      <c r="P6" s="6"/>
      <c r="Q6" s="6"/>
      <c r="R6" s="6"/>
      <c r="S6" s="6"/>
      <c r="T6" s="6"/>
      <c r="U6" s="7"/>
    </row>
    <row r="7" ht="12.75" customHeight="1">
      <c r="A7" s="5"/>
      <c r="B7" s="6"/>
      <c r="C7" s="6"/>
      <c r="D7" s="6"/>
      <c r="E7" s="6"/>
      <c r="F7" s="6"/>
      <c r="G7" s="6"/>
      <c r="H7" s="6" t="s">
        <v>9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7"/>
      <c r="AB7" s="12"/>
    </row>
    <row r="8" ht="12.75" customHeight="1">
      <c r="A8" s="5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7"/>
      <c r="AB8" s="12"/>
    </row>
    <row r="9" ht="12.75" customHeight="1">
      <c r="A9" s="5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7"/>
      <c r="AB9" s="12"/>
    </row>
    <row r="10" ht="12.75" customHeight="1">
      <c r="A10" s="5"/>
      <c r="B10" s="13"/>
      <c r="C10" s="13"/>
      <c r="D10" s="14" t="str">
        <f t="shared" ref="D10:S10" si="1">IF(D11="","",IF(D11=1,"Mon",IF(D11=2,"Tue",IF(D11=3,"Wed",IF(D11=4,"Thu",IF(D11=5,"Fri",IF(D11=6,"Sat",IF(D11=7,"Sun"))))))))</f>
        <v>Thu</v>
      </c>
      <c r="E10" s="15" t="str">
        <f t="shared" si="1"/>
        <v>Fri</v>
      </c>
      <c r="F10" s="15" t="str">
        <f t="shared" si="1"/>
        <v>Sat</v>
      </c>
      <c r="G10" s="15" t="str">
        <f t="shared" si="1"/>
        <v>Sun</v>
      </c>
      <c r="H10" s="15" t="str">
        <f t="shared" si="1"/>
        <v>Mon</v>
      </c>
      <c r="I10" s="15" t="str">
        <f t="shared" si="1"/>
        <v>Tue</v>
      </c>
      <c r="J10" s="15" t="str">
        <f t="shared" si="1"/>
        <v>Wed</v>
      </c>
      <c r="K10" s="15" t="str">
        <f t="shared" si="1"/>
        <v>Thu</v>
      </c>
      <c r="L10" s="15" t="str">
        <f t="shared" si="1"/>
        <v>Fri</v>
      </c>
      <c r="M10" s="15" t="str">
        <f t="shared" si="1"/>
        <v>Sat</v>
      </c>
      <c r="N10" s="15" t="str">
        <f t="shared" si="1"/>
        <v>Sun</v>
      </c>
      <c r="O10" s="15" t="str">
        <f t="shared" si="1"/>
        <v>Mon</v>
      </c>
      <c r="P10" s="15" t="str">
        <f t="shared" si="1"/>
        <v>Tue</v>
      </c>
      <c r="Q10" s="15" t="str">
        <f t="shared" si="1"/>
        <v>Wed</v>
      </c>
      <c r="R10" s="15" t="str">
        <f t="shared" si="1"/>
        <v>Thu</v>
      </c>
      <c r="S10" s="15" t="str">
        <f t="shared" si="1"/>
        <v>Fri</v>
      </c>
      <c r="T10" s="13" t="s">
        <v>10</v>
      </c>
      <c r="U10" s="7"/>
      <c r="AB10" s="12"/>
    </row>
    <row r="11" ht="12.75" hidden="1" customHeight="1">
      <c r="A11" s="5"/>
      <c r="B11" s="16"/>
      <c r="C11" s="16" t="b">
        <v>0</v>
      </c>
      <c r="D11" s="17">
        <f t="shared" ref="D11:S11" si="2">IF(D12&lt;&gt;"",WEEKDAY(D12,2),"")</f>
        <v>4</v>
      </c>
      <c r="E11" s="18">
        <f t="shared" si="2"/>
        <v>5</v>
      </c>
      <c r="F11" s="18">
        <f t="shared" si="2"/>
        <v>6</v>
      </c>
      <c r="G11" s="18">
        <f t="shared" si="2"/>
        <v>7</v>
      </c>
      <c r="H11" s="18">
        <f t="shared" si="2"/>
        <v>1</v>
      </c>
      <c r="I11" s="18">
        <f t="shared" si="2"/>
        <v>2</v>
      </c>
      <c r="J11" s="18">
        <f t="shared" si="2"/>
        <v>3</v>
      </c>
      <c r="K11" s="18">
        <f t="shared" si="2"/>
        <v>4</v>
      </c>
      <c r="L11" s="18">
        <f t="shared" si="2"/>
        <v>5</v>
      </c>
      <c r="M11" s="18">
        <f t="shared" si="2"/>
        <v>6</v>
      </c>
      <c r="N11" s="18">
        <f t="shared" si="2"/>
        <v>7</v>
      </c>
      <c r="O11" s="18">
        <f t="shared" si="2"/>
        <v>1</v>
      </c>
      <c r="P11" s="18">
        <f t="shared" si="2"/>
        <v>2</v>
      </c>
      <c r="Q11" s="18">
        <f t="shared" si="2"/>
        <v>3</v>
      </c>
      <c r="R11" s="18">
        <f t="shared" si="2"/>
        <v>4</v>
      </c>
      <c r="S11" s="18">
        <f t="shared" si="2"/>
        <v>5</v>
      </c>
      <c r="T11" s="16"/>
      <c r="U11" s="7"/>
      <c r="AB11" s="12"/>
    </row>
    <row r="12" ht="12.75" customHeight="1">
      <c r="A12" s="5"/>
      <c r="B12" s="19"/>
      <c r="C12" s="19" t="s">
        <v>11</v>
      </c>
      <c r="D12" s="20">
        <f>IF(D6,D6,"")</f>
        <v>44287</v>
      </c>
      <c r="E12" s="21">
        <f t="shared" ref="E12:S12" si="3">IF(D12&lt;&gt;"",IF(D12+1&gt;$K6,"",D12+1),"")</f>
        <v>44288</v>
      </c>
      <c r="F12" s="21">
        <f t="shared" si="3"/>
        <v>44289</v>
      </c>
      <c r="G12" s="21">
        <f t="shared" si="3"/>
        <v>44290</v>
      </c>
      <c r="H12" s="21">
        <f t="shared" si="3"/>
        <v>44291</v>
      </c>
      <c r="I12" s="21">
        <f t="shared" si="3"/>
        <v>44292</v>
      </c>
      <c r="J12" s="21">
        <f t="shared" si="3"/>
        <v>44293</v>
      </c>
      <c r="K12" s="21">
        <f t="shared" si="3"/>
        <v>44294</v>
      </c>
      <c r="L12" s="21">
        <f t="shared" si="3"/>
        <v>44295</v>
      </c>
      <c r="M12" s="21">
        <f t="shared" si="3"/>
        <v>44296</v>
      </c>
      <c r="N12" s="21">
        <f t="shared" si="3"/>
        <v>44297</v>
      </c>
      <c r="O12" s="21">
        <f t="shared" si="3"/>
        <v>44298</v>
      </c>
      <c r="P12" s="21">
        <f t="shared" si="3"/>
        <v>44299</v>
      </c>
      <c r="Q12" s="21">
        <f t="shared" si="3"/>
        <v>44300</v>
      </c>
      <c r="R12" s="21">
        <f t="shared" si="3"/>
        <v>44301</v>
      </c>
      <c r="S12" s="21">
        <f t="shared" si="3"/>
        <v>44302</v>
      </c>
      <c r="T12" s="22" t="s">
        <v>12</v>
      </c>
      <c r="U12" s="7"/>
      <c r="AB12" s="12"/>
    </row>
    <row r="13" ht="12.75" customHeight="1">
      <c r="A13" s="5"/>
      <c r="B13" s="23">
        <v>1.0</v>
      </c>
      <c r="C13" s="24" t="s">
        <v>13</v>
      </c>
      <c r="D13" s="25"/>
      <c r="E13" s="26">
        <v>0.0</v>
      </c>
      <c r="F13" s="26">
        <v>0.0</v>
      </c>
      <c r="G13" s="26">
        <v>8.0</v>
      </c>
      <c r="H13" s="26">
        <v>8.0</v>
      </c>
      <c r="I13" s="26">
        <v>8.0</v>
      </c>
      <c r="J13" s="26">
        <v>8.0</v>
      </c>
      <c r="K13" s="26">
        <v>8.0</v>
      </c>
      <c r="L13" s="26">
        <v>0.0</v>
      </c>
      <c r="M13" s="26">
        <v>0.0</v>
      </c>
      <c r="N13" s="26">
        <v>8.0</v>
      </c>
      <c r="O13" s="25"/>
      <c r="P13" s="26">
        <v>6.0</v>
      </c>
      <c r="Q13" s="26">
        <v>6.0</v>
      </c>
      <c r="R13" s="25"/>
      <c r="S13" s="26">
        <v>0.0</v>
      </c>
      <c r="T13" s="27">
        <f t="shared" ref="T13:T23" si="4">SUM(D13:S13)</f>
        <v>60</v>
      </c>
      <c r="U13" s="28"/>
      <c r="V13" s="29"/>
      <c r="W13" s="29"/>
      <c r="X13" s="29"/>
      <c r="Y13" s="29"/>
      <c r="Z13" s="29"/>
      <c r="AA13" s="29"/>
      <c r="AB13" s="30"/>
      <c r="AC13" s="29"/>
      <c r="AD13" s="29"/>
      <c r="AE13" s="29"/>
      <c r="AF13" s="29"/>
      <c r="AG13" s="29"/>
      <c r="AH13" s="29"/>
    </row>
    <row r="14" ht="12.75" customHeight="1">
      <c r="A14" s="5"/>
      <c r="B14" s="23">
        <v>2.0</v>
      </c>
      <c r="C14" s="31" t="s">
        <v>14</v>
      </c>
      <c r="D14" s="32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/>
      <c r="P14" s="33"/>
      <c r="Q14" s="33"/>
      <c r="R14" s="34"/>
      <c r="S14" s="35"/>
      <c r="T14" s="36">
        <f t="shared" si="4"/>
        <v>0</v>
      </c>
      <c r="U14" s="28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</row>
    <row r="15" ht="12.75" customHeight="1">
      <c r="A15" s="5"/>
      <c r="B15" s="23">
        <v>3.0</v>
      </c>
      <c r="C15" s="37" t="s">
        <v>15</v>
      </c>
      <c r="D15" s="38">
        <v>8.0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40">
        <v>8.0</v>
      </c>
      <c r="P15" s="39"/>
      <c r="Q15" s="39"/>
      <c r="R15" s="40">
        <v>8.0</v>
      </c>
      <c r="S15" s="41"/>
      <c r="T15" s="27">
        <f t="shared" si="4"/>
        <v>24</v>
      </c>
      <c r="U15" s="28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</row>
    <row r="16" ht="12.75" customHeight="1">
      <c r="A16" s="5"/>
      <c r="B16" s="23">
        <v>4.0</v>
      </c>
      <c r="C16" s="42" t="s">
        <v>16</v>
      </c>
      <c r="D16" s="32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4">
        <v>2.0</v>
      </c>
      <c r="Q16" s="34">
        <v>2.0</v>
      </c>
      <c r="R16" s="33"/>
      <c r="S16" s="35"/>
      <c r="T16" s="36">
        <f t="shared" si="4"/>
        <v>4</v>
      </c>
      <c r="U16" s="28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</row>
    <row r="17" ht="12.75" customHeight="1">
      <c r="A17" s="5"/>
      <c r="B17" s="23">
        <v>5.0</v>
      </c>
      <c r="C17" s="37"/>
      <c r="D17" s="43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41"/>
      <c r="T17" s="27">
        <f t="shared" si="4"/>
        <v>0</v>
      </c>
      <c r="U17" s="28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</row>
    <row r="18" ht="12.75" customHeight="1">
      <c r="A18" s="5"/>
      <c r="B18" s="23">
        <v>6.0</v>
      </c>
      <c r="C18" s="44"/>
      <c r="D18" s="45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7"/>
      <c r="T18" s="48">
        <f t="shared" si="4"/>
        <v>0</v>
      </c>
      <c r="U18" s="28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</row>
    <row r="19" ht="12.75" customHeight="1">
      <c r="A19" s="5"/>
      <c r="B19" s="23">
        <v>7.0</v>
      </c>
      <c r="C19" s="49"/>
      <c r="D19" s="50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2"/>
      <c r="T19" s="53">
        <f t="shared" si="4"/>
        <v>0</v>
      </c>
      <c r="U19" s="28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</row>
    <row r="20" ht="12.75" customHeight="1">
      <c r="A20" s="5"/>
      <c r="B20" s="23">
        <v>8.0</v>
      </c>
      <c r="C20" s="54"/>
      <c r="D20" s="55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7"/>
      <c r="T20" s="36">
        <f t="shared" si="4"/>
        <v>0</v>
      </c>
      <c r="U20" s="28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</row>
    <row r="21" ht="12.75" customHeight="1">
      <c r="A21" s="5"/>
      <c r="B21" s="23">
        <v>9.0</v>
      </c>
      <c r="C21" s="58"/>
      <c r="D21" s="50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2"/>
      <c r="T21" s="53">
        <f t="shared" si="4"/>
        <v>0</v>
      </c>
      <c r="U21" s="28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</row>
    <row r="22" ht="12.75" customHeight="1">
      <c r="A22" s="5"/>
      <c r="B22" s="23">
        <v>10.0</v>
      </c>
      <c r="C22" s="59"/>
      <c r="D22" s="60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2"/>
      <c r="T22" s="36">
        <f t="shared" si="4"/>
        <v>0</v>
      </c>
      <c r="U22" s="28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</row>
    <row r="23" ht="12.75" customHeight="1">
      <c r="A23" s="5"/>
      <c r="B23" s="19">
        <v>11.0</v>
      </c>
      <c r="C23" s="63"/>
      <c r="D23" s="64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6"/>
      <c r="T23" s="36">
        <f t="shared" si="4"/>
        <v>0</v>
      </c>
      <c r="U23" s="28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</row>
    <row r="24" ht="12.75" customHeight="1">
      <c r="A24" s="5"/>
      <c r="B24" s="67"/>
      <c r="C24" s="68" t="s">
        <v>17</v>
      </c>
      <c r="D24" s="27">
        <f t="shared" ref="D24:T24" si="5">SUM(D13:D23)</f>
        <v>8</v>
      </c>
      <c r="E24" s="27">
        <f t="shared" si="5"/>
        <v>0</v>
      </c>
      <c r="F24" s="27">
        <f t="shared" si="5"/>
        <v>0</v>
      </c>
      <c r="G24" s="27">
        <f t="shared" si="5"/>
        <v>8</v>
      </c>
      <c r="H24" s="27">
        <f t="shared" si="5"/>
        <v>8</v>
      </c>
      <c r="I24" s="27">
        <f t="shared" si="5"/>
        <v>8</v>
      </c>
      <c r="J24" s="27">
        <f t="shared" si="5"/>
        <v>8</v>
      </c>
      <c r="K24" s="27">
        <f t="shared" si="5"/>
        <v>8</v>
      </c>
      <c r="L24" s="27">
        <f t="shared" si="5"/>
        <v>0</v>
      </c>
      <c r="M24" s="27">
        <f t="shared" si="5"/>
        <v>0</v>
      </c>
      <c r="N24" s="27">
        <f t="shared" si="5"/>
        <v>8</v>
      </c>
      <c r="O24" s="27">
        <f t="shared" si="5"/>
        <v>8</v>
      </c>
      <c r="P24" s="27">
        <f t="shared" si="5"/>
        <v>8</v>
      </c>
      <c r="Q24" s="27">
        <f t="shared" si="5"/>
        <v>8</v>
      </c>
      <c r="R24" s="27">
        <f t="shared" si="5"/>
        <v>8</v>
      </c>
      <c r="S24" s="27">
        <f t="shared" si="5"/>
        <v>0</v>
      </c>
      <c r="T24" s="69">
        <f t="shared" si="5"/>
        <v>88</v>
      </c>
      <c r="U24" s="7"/>
    </row>
    <row r="25" ht="12.75" customHeight="1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18"/>
      <c r="U25" s="7"/>
    </row>
    <row r="26" ht="12.75" customHeight="1">
      <c r="A26" s="5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18"/>
      <c r="U26" s="7"/>
    </row>
    <row r="27" ht="12.75" customHeight="1">
      <c r="A27" s="5"/>
      <c r="B27" s="13"/>
      <c r="C27" s="13"/>
      <c r="D27" s="14" t="str">
        <f t="shared" ref="D27:R27" si="6">IF(D28="","",IF(D28=1,"Mon",IF(D28=2,"Tue",IF(D28=3,"Wed",IF(D28=4,"Thu",IF(D28=5,"Fri",IF(D28=6,"Sat",IF(D28=7,"Sun"))))))))</f>
        <v>Sat</v>
      </c>
      <c r="E27" s="15" t="str">
        <f t="shared" si="6"/>
        <v>Sun</v>
      </c>
      <c r="F27" s="15" t="str">
        <f t="shared" si="6"/>
        <v>Mon</v>
      </c>
      <c r="G27" s="15" t="str">
        <f t="shared" si="6"/>
        <v>Tue</v>
      </c>
      <c r="H27" s="15" t="str">
        <f t="shared" si="6"/>
        <v>Wed</v>
      </c>
      <c r="I27" s="15" t="str">
        <f t="shared" si="6"/>
        <v>Thu</v>
      </c>
      <c r="J27" s="15" t="str">
        <f t="shared" si="6"/>
        <v>Fri</v>
      </c>
      <c r="K27" s="15" t="str">
        <f t="shared" si="6"/>
        <v>Sat</v>
      </c>
      <c r="L27" s="15" t="str">
        <f t="shared" si="6"/>
        <v>Sun</v>
      </c>
      <c r="M27" s="15" t="str">
        <f t="shared" si="6"/>
        <v>Mon</v>
      </c>
      <c r="N27" s="15" t="str">
        <f t="shared" si="6"/>
        <v>Tue</v>
      </c>
      <c r="O27" s="15" t="str">
        <f t="shared" si="6"/>
        <v>Wed</v>
      </c>
      <c r="P27" s="15" t="str">
        <f t="shared" si="6"/>
        <v>Thu</v>
      </c>
      <c r="Q27" s="15" t="str">
        <f t="shared" si="6"/>
        <v>Fri</v>
      </c>
      <c r="R27" s="15" t="str">
        <f t="shared" si="6"/>
        <v/>
      </c>
      <c r="S27" s="70" t="s">
        <v>10</v>
      </c>
      <c r="T27" s="71" t="s">
        <v>17</v>
      </c>
      <c r="U27" s="7"/>
    </row>
    <row r="28" ht="12.75" hidden="1" customHeight="1">
      <c r="A28" s="5"/>
      <c r="B28" s="16"/>
      <c r="C28" s="16"/>
      <c r="D28" s="17">
        <f t="shared" ref="D28:R28" si="7">IF(D29&lt;&gt;"",WEEKDAY(D29,2),"")</f>
        <v>6</v>
      </c>
      <c r="E28" s="18">
        <f t="shared" si="7"/>
        <v>7</v>
      </c>
      <c r="F28" s="18">
        <f t="shared" si="7"/>
        <v>1</v>
      </c>
      <c r="G28" s="18">
        <f t="shared" si="7"/>
        <v>2</v>
      </c>
      <c r="H28" s="18">
        <f t="shared" si="7"/>
        <v>3</v>
      </c>
      <c r="I28" s="18">
        <f t="shared" si="7"/>
        <v>4</v>
      </c>
      <c r="J28" s="18">
        <f t="shared" si="7"/>
        <v>5</v>
      </c>
      <c r="K28" s="18">
        <f t="shared" si="7"/>
        <v>6</v>
      </c>
      <c r="L28" s="18">
        <f t="shared" si="7"/>
        <v>7</v>
      </c>
      <c r="M28" s="18">
        <f t="shared" si="7"/>
        <v>1</v>
      </c>
      <c r="N28" s="18">
        <f t="shared" si="7"/>
        <v>2</v>
      </c>
      <c r="O28" s="18">
        <f t="shared" si="7"/>
        <v>3</v>
      </c>
      <c r="P28" s="18">
        <f t="shared" si="7"/>
        <v>4</v>
      </c>
      <c r="Q28" s="18">
        <f t="shared" si="7"/>
        <v>5</v>
      </c>
      <c r="R28" s="18" t="str">
        <f t="shared" si="7"/>
        <v/>
      </c>
      <c r="S28" s="16"/>
      <c r="T28" s="72"/>
      <c r="U28" s="7"/>
    </row>
    <row r="29" ht="12.75" customHeight="1">
      <c r="A29" s="5"/>
      <c r="B29" s="19"/>
      <c r="C29" s="19" t="s">
        <v>11</v>
      </c>
      <c r="D29" s="20">
        <f>IF(S12&lt;&gt;"",IF(S12+1&gt;$K6,"",S12+1),"")</f>
        <v>44303</v>
      </c>
      <c r="E29" s="21">
        <f t="shared" ref="E29:R29" si="8">IF(D29&lt;&gt;"",IF(D29+1&gt;$K6,"",D29+1),"")</f>
        <v>44304</v>
      </c>
      <c r="F29" s="21">
        <f t="shared" si="8"/>
        <v>44305</v>
      </c>
      <c r="G29" s="21">
        <f t="shared" si="8"/>
        <v>44306</v>
      </c>
      <c r="H29" s="21">
        <f t="shared" si="8"/>
        <v>44307</v>
      </c>
      <c r="I29" s="21">
        <f t="shared" si="8"/>
        <v>44308</v>
      </c>
      <c r="J29" s="21">
        <f t="shared" si="8"/>
        <v>44309</v>
      </c>
      <c r="K29" s="21">
        <f t="shared" si="8"/>
        <v>44310</v>
      </c>
      <c r="L29" s="21">
        <f t="shared" si="8"/>
        <v>44311</v>
      </c>
      <c r="M29" s="21">
        <f t="shared" si="8"/>
        <v>44312</v>
      </c>
      <c r="N29" s="21">
        <f t="shared" si="8"/>
        <v>44313</v>
      </c>
      <c r="O29" s="21">
        <f t="shared" si="8"/>
        <v>44314</v>
      </c>
      <c r="P29" s="21">
        <f t="shared" si="8"/>
        <v>44315</v>
      </c>
      <c r="Q29" s="21">
        <f t="shared" si="8"/>
        <v>44316</v>
      </c>
      <c r="R29" s="21" t="str">
        <f t="shared" si="8"/>
        <v/>
      </c>
      <c r="S29" s="73" t="s">
        <v>12</v>
      </c>
      <c r="T29" s="74" t="s">
        <v>12</v>
      </c>
      <c r="U29" s="7"/>
    </row>
    <row r="30" ht="12.75" customHeight="1">
      <c r="A30" s="5"/>
      <c r="B30" s="23">
        <v>1.0</v>
      </c>
      <c r="C30" s="24" t="s">
        <v>13</v>
      </c>
      <c r="D30" s="75">
        <v>0.0</v>
      </c>
      <c r="E30" s="26">
        <v>6.0</v>
      </c>
      <c r="F30" s="26">
        <v>6.0</v>
      </c>
      <c r="G30" s="26">
        <v>6.0</v>
      </c>
      <c r="H30" s="26">
        <v>6.0</v>
      </c>
      <c r="I30" s="26">
        <v>6.0</v>
      </c>
      <c r="J30" s="26">
        <v>0.0</v>
      </c>
      <c r="K30" s="26">
        <v>0.0</v>
      </c>
      <c r="L30" s="26">
        <v>6.0</v>
      </c>
      <c r="M30" s="26">
        <v>6.0</v>
      </c>
      <c r="N30" s="26">
        <v>6.0</v>
      </c>
      <c r="O30" s="26">
        <v>6.0</v>
      </c>
      <c r="P30" s="26">
        <v>6.0</v>
      </c>
      <c r="Q30" s="26">
        <v>0.0</v>
      </c>
      <c r="R30" s="25"/>
      <c r="S30" s="27">
        <f t="shared" ref="S30:S40" si="9">SUM(D30:R30)</f>
        <v>60</v>
      </c>
      <c r="T30" s="76">
        <f t="shared" ref="T30:T39" si="10">T13+S30</f>
        <v>120</v>
      </c>
      <c r="U30" s="7"/>
    </row>
    <row r="31" ht="12.75" customHeight="1">
      <c r="A31" s="5"/>
      <c r="B31" s="23">
        <v>2.0</v>
      </c>
      <c r="C31" s="31" t="str">
        <f t="shared" ref="C31:C38" si="11">IF(C14&lt;&gt;"",C14,"")</f>
        <v>Holiday</v>
      </c>
      <c r="D31" s="32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5"/>
      <c r="S31" s="36">
        <f t="shared" si="9"/>
        <v>0</v>
      </c>
      <c r="T31" s="77">
        <f t="shared" si="10"/>
        <v>0</v>
      </c>
      <c r="U31" s="7"/>
    </row>
    <row r="32" ht="12.75" customHeight="1">
      <c r="A32" s="5"/>
      <c r="B32" s="23">
        <v>3.0</v>
      </c>
      <c r="C32" s="37" t="str">
        <f t="shared" si="11"/>
        <v>Vacation</v>
      </c>
      <c r="D32" s="43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41"/>
      <c r="S32" s="27">
        <f t="shared" si="9"/>
        <v>0</v>
      </c>
      <c r="T32" s="76">
        <f t="shared" si="10"/>
        <v>24</v>
      </c>
      <c r="U32" s="7"/>
    </row>
    <row r="33" ht="12.75" customHeight="1">
      <c r="A33" s="5"/>
      <c r="B33" s="23">
        <v>4.0</v>
      </c>
      <c r="C33" s="31" t="str">
        <f t="shared" si="11"/>
        <v>Other (Ramadan)</v>
      </c>
      <c r="D33" s="78"/>
      <c r="E33" s="34">
        <v>2.0</v>
      </c>
      <c r="F33" s="34">
        <v>2.0</v>
      </c>
      <c r="G33" s="34">
        <v>2.0</v>
      </c>
      <c r="H33" s="34">
        <v>2.0</v>
      </c>
      <c r="I33" s="34">
        <v>2.0</v>
      </c>
      <c r="J33" s="33"/>
      <c r="K33" s="33"/>
      <c r="L33" s="34">
        <v>2.0</v>
      </c>
      <c r="M33" s="34">
        <v>2.0</v>
      </c>
      <c r="N33" s="34">
        <v>2.0</v>
      </c>
      <c r="O33" s="34">
        <v>2.0</v>
      </c>
      <c r="P33" s="34">
        <v>2.0</v>
      </c>
      <c r="Q33" s="33"/>
      <c r="R33" s="35"/>
      <c r="S33" s="36">
        <f t="shared" si="9"/>
        <v>20</v>
      </c>
      <c r="T33" s="77">
        <f t="shared" si="10"/>
        <v>24</v>
      </c>
      <c r="U33" s="7"/>
    </row>
    <row r="34" ht="12.75" customHeight="1">
      <c r="A34" s="5"/>
      <c r="B34" s="23">
        <v>5.0</v>
      </c>
      <c r="C34" s="37" t="str">
        <f t="shared" si="11"/>
        <v/>
      </c>
      <c r="D34" s="43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41"/>
      <c r="S34" s="27">
        <f t="shared" si="9"/>
        <v>0</v>
      </c>
      <c r="T34" s="76">
        <f t="shared" si="10"/>
        <v>0</v>
      </c>
      <c r="U34" s="7"/>
    </row>
    <row r="35" ht="12.75" customHeight="1">
      <c r="A35" s="5"/>
      <c r="B35" s="23">
        <v>6.0</v>
      </c>
      <c r="C35" s="44" t="str">
        <f t="shared" si="11"/>
        <v/>
      </c>
      <c r="D35" s="45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7"/>
      <c r="S35" s="48">
        <f t="shared" si="9"/>
        <v>0</v>
      </c>
      <c r="T35" s="79">
        <f t="shared" si="10"/>
        <v>0</v>
      </c>
      <c r="U35" s="7"/>
    </row>
    <row r="36" ht="12.75" customHeight="1">
      <c r="A36" s="5"/>
      <c r="B36" s="23">
        <v>7.0</v>
      </c>
      <c r="C36" s="49" t="str">
        <f t="shared" si="11"/>
        <v/>
      </c>
      <c r="D36" s="50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2"/>
      <c r="S36" s="53">
        <f t="shared" si="9"/>
        <v>0</v>
      </c>
      <c r="T36" s="80">
        <f t="shared" si="10"/>
        <v>0</v>
      </c>
      <c r="U36" s="7"/>
    </row>
    <row r="37" ht="12.75" customHeight="1">
      <c r="A37" s="5"/>
      <c r="B37" s="23">
        <v>8.0</v>
      </c>
      <c r="C37" s="54" t="str">
        <f t="shared" si="11"/>
        <v/>
      </c>
      <c r="D37" s="55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7"/>
      <c r="S37" s="36">
        <f t="shared" si="9"/>
        <v>0</v>
      </c>
      <c r="T37" s="77">
        <f t="shared" si="10"/>
        <v>0</v>
      </c>
      <c r="U37" s="7"/>
    </row>
    <row r="38" ht="12.75" customHeight="1">
      <c r="A38" s="5"/>
      <c r="B38" s="23">
        <v>9.0</v>
      </c>
      <c r="C38" s="58" t="str">
        <f t="shared" si="11"/>
        <v/>
      </c>
      <c r="D38" s="50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2"/>
      <c r="S38" s="53">
        <f t="shared" si="9"/>
        <v>0</v>
      </c>
      <c r="T38" s="80">
        <f t="shared" si="10"/>
        <v>0</v>
      </c>
      <c r="U38" s="7"/>
    </row>
    <row r="39" ht="12.75" customHeight="1">
      <c r="A39" s="5"/>
      <c r="B39" s="23">
        <v>10.0</v>
      </c>
      <c r="C39" s="81"/>
      <c r="D39" s="60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2"/>
      <c r="S39" s="36">
        <f t="shared" si="9"/>
        <v>0</v>
      </c>
      <c r="T39" s="77">
        <f t="shared" si="10"/>
        <v>0</v>
      </c>
      <c r="U39" s="7"/>
    </row>
    <row r="40" ht="12.75" customHeight="1">
      <c r="A40" s="5"/>
      <c r="B40" s="82">
        <v>11.0</v>
      </c>
      <c r="C40" s="83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6"/>
      <c r="S40" s="27">
        <f t="shared" si="9"/>
        <v>0</v>
      </c>
      <c r="T40" s="76">
        <f>T22+S40</f>
        <v>0</v>
      </c>
      <c r="U40" s="7"/>
    </row>
    <row r="41" ht="12.75" customHeight="1">
      <c r="A41" s="5"/>
      <c r="B41" s="67"/>
      <c r="C41" s="68" t="s">
        <v>17</v>
      </c>
      <c r="D41" s="27">
        <f t="shared" ref="D41:T41" si="12">SUM(D30:D40)</f>
        <v>0</v>
      </c>
      <c r="E41" s="27">
        <f t="shared" si="12"/>
        <v>8</v>
      </c>
      <c r="F41" s="27">
        <f t="shared" si="12"/>
        <v>8</v>
      </c>
      <c r="G41" s="27">
        <f t="shared" si="12"/>
        <v>8</v>
      </c>
      <c r="H41" s="27">
        <f t="shared" si="12"/>
        <v>8</v>
      </c>
      <c r="I41" s="27">
        <f t="shared" si="12"/>
        <v>8</v>
      </c>
      <c r="J41" s="27">
        <f t="shared" si="12"/>
        <v>0</v>
      </c>
      <c r="K41" s="27">
        <f t="shared" si="12"/>
        <v>0</v>
      </c>
      <c r="L41" s="27">
        <f t="shared" si="12"/>
        <v>8</v>
      </c>
      <c r="M41" s="27">
        <f t="shared" si="12"/>
        <v>8</v>
      </c>
      <c r="N41" s="27">
        <f t="shared" si="12"/>
        <v>8</v>
      </c>
      <c r="O41" s="27">
        <f t="shared" si="12"/>
        <v>8</v>
      </c>
      <c r="P41" s="27">
        <f t="shared" si="12"/>
        <v>8</v>
      </c>
      <c r="Q41" s="27">
        <f t="shared" si="12"/>
        <v>0</v>
      </c>
      <c r="R41" s="27">
        <f t="shared" si="12"/>
        <v>0</v>
      </c>
      <c r="S41" s="84">
        <f t="shared" si="12"/>
        <v>80</v>
      </c>
      <c r="T41" s="76">
        <f t="shared" si="12"/>
        <v>168</v>
      </c>
      <c r="U41" s="7"/>
    </row>
    <row r="42" ht="12.75" customHeight="1">
      <c r="A42" s="5"/>
      <c r="B42" s="6"/>
      <c r="C42" s="6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6"/>
      <c r="U42" s="7"/>
    </row>
    <row r="43" ht="12.75" customHeight="1">
      <c r="A43" s="5"/>
      <c r="B43" s="6"/>
      <c r="C43" s="6"/>
      <c r="D43" s="87"/>
      <c r="E43" s="87"/>
      <c r="F43" s="87"/>
      <c r="G43" s="87"/>
      <c r="H43" s="88"/>
      <c r="I43" s="88"/>
      <c r="J43" s="88"/>
      <c r="K43" s="88"/>
      <c r="L43" s="89"/>
      <c r="M43" s="87"/>
      <c r="N43" s="87"/>
      <c r="O43" s="87"/>
      <c r="P43" s="87"/>
      <c r="Q43" s="87"/>
      <c r="R43" s="87"/>
      <c r="S43" s="87"/>
      <c r="T43" s="90"/>
      <c r="U43" s="7"/>
    </row>
    <row r="44" ht="12.75" customHeight="1">
      <c r="A44" s="5"/>
      <c r="B44" s="6"/>
      <c r="C44" s="6" t="s">
        <v>18</v>
      </c>
      <c r="D44" s="91"/>
      <c r="E44" s="91"/>
      <c r="F44" s="91"/>
      <c r="G44" s="91"/>
      <c r="H44" s="88"/>
      <c r="I44" s="92" t="s">
        <v>19</v>
      </c>
      <c r="J44" s="88"/>
      <c r="K44" s="88"/>
      <c r="L44" s="91"/>
      <c r="M44" s="91"/>
      <c r="N44" s="91"/>
      <c r="O44" s="91"/>
      <c r="P44" s="91"/>
      <c r="Q44" s="91"/>
      <c r="R44" s="91"/>
      <c r="S44" s="91"/>
      <c r="T44" s="90"/>
      <c r="U44" s="7"/>
    </row>
    <row r="45" ht="12.75" customHeight="1">
      <c r="A45" s="5"/>
      <c r="B45" s="6"/>
      <c r="C45" s="6"/>
      <c r="D45" s="93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5"/>
      <c r="P45" s="88"/>
      <c r="Q45" s="88"/>
      <c r="R45" s="88"/>
      <c r="S45" s="88"/>
      <c r="T45" s="90"/>
      <c r="U45" s="7"/>
    </row>
    <row r="46" ht="12.75" customHeight="1">
      <c r="A46" s="96"/>
      <c r="B46" s="97"/>
      <c r="C46" s="97"/>
      <c r="D46" s="97" t="s">
        <v>20</v>
      </c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8"/>
      <c r="T46" s="98"/>
      <c r="U46" s="99"/>
    </row>
    <row r="47" ht="12.75" customHeight="1"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</row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5">
    <mergeCell ref="D3:F3"/>
    <mergeCell ref="K3:M3"/>
    <mergeCell ref="D6:F6"/>
    <mergeCell ref="K6:M6"/>
    <mergeCell ref="D45:O45"/>
  </mergeCells>
  <printOptions/>
  <pageMargins bottom="1.0" footer="0.0" header="0.0" left="0.75" right="0.75" top="1.0"/>
  <pageSetup paperSize="9" scale="48"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2005-11-20T08:32:36Z</dcterms:created>
  <dc:creator>rodger.clarke</dc:creator>
</cp:coreProperties>
</file>